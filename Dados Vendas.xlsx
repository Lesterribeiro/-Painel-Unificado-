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7ab93f71e7634/Documentos/DIO ME/BOOTCAMP RECLAME AQUI DADOS e IA NA PRÁTICA/dashboard vendas/"/>
    </mc:Choice>
  </mc:AlternateContent>
  <xr:revisionPtr revIDLastSave="330" documentId="8_{F30BE7A2-81EA-480D-93DB-EEE8B4CFA3BD}" xr6:coauthVersionLast="47" xr6:coauthVersionMax="47" xr10:uidLastSave="{58A228B5-CF9E-447F-B8B8-DF52B424BCDD}"/>
  <bookViews>
    <workbookView xWindow="12000" yWindow="210" windowWidth="13440" windowHeight="15040" xr2:uid="{FA2C3968-335C-4784-A469-B8157DCED5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B35" i="1"/>
  <c r="A35" i="1"/>
  <c r="C32" i="1"/>
  <c r="B32" i="1"/>
  <c r="A32" i="1"/>
  <c r="C29" i="1"/>
  <c r="B29" i="1"/>
  <c r="A29" i="1"/>
  <c r="C26" i="1"/>
  <c r="B26" i="1"/>
  <c r="A26" i="1"/>
  <c r="A16" i="1"/>
  <c r="A19" i="1"/>
  <c r="A13" i="1"/>
</calcChain>
</file>

<file path=xl/sharedStrings.xml><?xml version="1.0" encoding="utf-8"?>
<sst xmlns="http://schemas.openxmlformats.org/spreadsheetml/2006/main" count="35" uniqueCount="21">
  <si>
    <t>Dados_Vendas</t>
  </si>
  <si>
    <t>Data</t>
  </si>
  <si>
    <t>Marca</t>
  </si>
  <si>
    <t>Tipo_Movimentação</t>
  </si>
  <si>
    <t>Quantidade</t>
  </si>
  <si>
    <t>Valor_Unitário</t>
  </si>
  <si>
    <t>Valor_Total</t>
  </si>
  <si>
    <t>Total de Carros Vendidos (Saídas Globais):</t>
  </si>
  <si>
    <t>Faturamento Total do Mês (Receita em R$):</t>
  </si>
  <si>
    <t>Matriz de Desempenho por Marca (Tabela Comparativa)</t>
  </si>
  <si>
    <t>GM</t>
  </si>
  <si>
    <t>VW</t>
  </si>
  <si>
    <t>CAOA</t>
  </si>
  <si>
    <t xml:space="preserve">Total de Entradas da Marca </t>
  </si>
  <si>
    <t xml:space="preserve">Total de Saídas/Vendas da Marca </t>
  </si>
  <si>
    <t xml:space="preserve">Saldo Atual em Estoque da Marca </t>
  </si>
  <si>
    <t xml:space="preserve">Faturamento por Marca em R$ </t>
  </si>
  <si>
    <t xml:space="preserve">Fechamento do Mês </t>
  </si>
  <si>
    <t>Entrada</t>
  </si>
  <si>
    <t>Saída</t>
  </si>
  <si>
    <r>
      <t>Total de Veículos Atuais em Estoque (Geral):</t>
    </r>
    <r>
      <rPr>
        <sz val="9"/>
        <color theme="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</si>
</sst>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ptos Narrow"/>
      <family val="2"/>
      <scheme val="minor"/>
    </font>
    <font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2" fillId="2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4" fillId="0" borderId="6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4" fontId="4" fillId="0" borderId="11" xfId="1" applyFont="1" applyBorder="1" applyAlignment="1">
      <alignment horizontal="center"/>
    </xf>
    <xf numFmtId="44" fontId="4" fillId="0" borderId="12" xfId="1" applyFont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 indent="1"/>
    </xf>
    <xf numFmtId="0" fontId="4" fillId="0" borderId="0" xfId="0" applyFont="1" applyBorder="1"/>
    <xf numFmtId="0" fontId="4" fillId="0" borderId="17" xfId="0" applyFont="1" applyBorder="1"/>
    <xf numFmtId="0" fontId="4" fillId="4" borderId="16" xfId="0" applyFont="1" applyFill="1" applyBorder="1"/>
    <xf numFmtId="0" fontId="4" fillId="0" borderId="16" xfId="0" applyFont="1" applyBorder="1"/>
    <xf numFmtId="0" fontId="7" fillId="2" borderId="16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4" fontId="4" fillId="4" borderId="16" xfId="1" applyFont="1" applyFill="1" applyBorder="1"/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0" fillId="5" borderId="0" xfId="0" applyFill="1" applyBorder="1"/>
    <xf numFmtId="0" fontId="0" fillId="5" borderId="16" xfId="0" applyFill="1" applyBorder="1"/>
    <xf numFmtId="44" fontId="0" fillId="5" borderId="7" xfId="1" applyFont="1" applyFill="1" applyBorder="1"/>
    <xf numFmtId="44" fontId="0" fillId="5" borderId="8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C5B-4D86-4F74-933E-FA5F93017AA7}">
  <dimension ref="A1:F39"/>
  <sheetViews>
    <sheetView showGridLines="0" showRowColHeaders="0" tabSelected="1" zoomScale="104" zoomScaleNormal="104" workbookViewId="0">
      <selection activeCell="K20" sqref="K20"/>
    </sheetView>
  </sheetViews>
  <sheetFormatPr defaultRowHeight="14.5" x14ac:dyDescent="0.35"/>
  <cols>
    <col min="1" max="1" width="44.54296875" bestFit="1" customWidth="1"/>
    <col min="2" max="2" width="14.08984375" bestFit="1" customWidth="1"/>
    <col min="3" max="3" width="17.7265625" bestFit="1" customWidth="1"/>
    <col min="4" max="4" width="10.6328125" bestFit="1" customWidth="1"/>
    <col min="5" max="5" width="14.08984375" bestFit="1" customWidth="1"/>
    <col min="6" max="6" width="15.6328125" bestFit="1" customWidth="1"/>
  </cols>
  <sheetData>
    <row r="1" spans="1:6" ht="15" thickBot="1" x14ac:dyDescent="0.4">
      <c r="A1" s="2" t="s">
        <v>0</v>
      </c>
      <c r="B1" s="2"/>
      <c r="C1" s="2"/>
      <c r="D1" s="2"/>
      <c r="E1" s="2"/>
      <c r="F1" s="2"/>
    </row>
    <row r="2" spans="1: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x14ac:dyDescent="0.35">
      <c r="A3" s="6">
        <v>46314</v>
      </c>
      <c r="B3" s="7" t="s">
        <v>10</v>
      </c>
      <c r="C3" s="7" t="s">
        <v>18</v>
      </c>
      <c r="D3" s="7">
        <v>10</v>
      </c>
      <c r="E3" s="8">
        <v>95000</v>
      </c>
      <c r="F3" s="9">
        <v>950000</v>
      </c>
    </row>
    <row r="4" spans="1:6" x14ac:dyDescent="0.35">
      <c r="A4" s="6">
        <v>46314</v>
      </c>
      <c r="B4" s="7" t="s">
        <v>11</v>
      </c>
      <c r="C4" s="7" t="s">
        <v>18</v>
      </c>
      <c r="D4" s="7">
        <v>15</v>
      </c>
      <c r="E4" s="8">
        <v>82000</v>
      </c>
      <c r="F4" s="9">
        <v>1230000</v>
      </c>
    </row>
    <row r="5" spans="1:6" x14ac:dyDescent="0.35">
      <c r="A5" s="6">
        <v>46314</v>
      </c>
      <c r="B5" s="7" t="s">
        <v>12</v>
      </c>
      <c r="C5" s="7" t="s">
        <v>18</v>
      </c>
      <c r="D5" s="7">
        <v>8</v>
      </c>
      <c r="E5" s="8">
        <v>130000</v>
      </c>
      <c r="F5" s="9">
        <v>1040000</v>
      </c>
    </row>
    <row r="6" spans="1:6" x14ac:dyDescent="0.35">
      <c r="A6" s="6">
        <v>46314</v>
      </c>
      <c r="B6" s="7" t="s">
        <v>10</v>
      </c>
      <c r="C6" s="7" t="s">
        <v>19</v>
      </c>
      <c r="D6" s="7">
        <v>4</v>
      </c>
      <c r="E6" s="8">
        <v>95000</v>
      </c>
      <c r="F6" s="9">
        <v>380000</v>
      </c>
    </row>
    <row r="7" spans="1:6" x14ac:dyDescent="0.35">
      <c r="A7" s="6">
        <v>46314</v>
      </c>
      <c r="B7" s="7" t="s">
        <v>11</v>
      </c>
      <c r="C7" s="7" t="s">
        <v>19</v>
      </c>
      <c r="D7" s="7">
        <v>6</v>
      </c>
      <c r="E7" s="8">
        <v>82000</v>
      </c>
      <c r="F7" s="9">
        <v>492000</v>
      </c>
    </row>
    <row r="8" spans="1:6" x14ac:dyDescent="0.35">
      <c r="A8" s="6">
        <v>46314</v>
      </c>
      <c r="B8" s="7" t="s">
        <v>12</v>
      </c>
      <c r="C8" s="7" t="s">
        <v>19</v>
      </c>
      <c r="D8" s="7">
        <v>3</v>
      </c>
      <c r="E8" s="8">
        <v>130000</v>
      </c>
      <c r="F8" s="9">
        <v>390000</v>
      </c>
    </row>
    <row r="9" spans="1:6" x14ac:dyDescent="0.35">
      <c r="A9" s="6">
        <v>46314</v>
      </c>
      <c r="B9" s="7" t="s">
        <v>10</v>
      </c>
      <c r="C9" s="7" t="s">
        <v>19</v>
      </c>
      <c r="D9" s="7">
        <v>2</v>
      </c>
      <c r="E9" s="8">
        <v>95000</v>
      </c>
      <c r="F9" s="9">
        <v>190000</v>
      </c>
    </row>
    <row r="10" spans="1:6" ht="15" thickBot="1" x14ac:dyDescent="0.4">
      <c r="A10" s="10">
        <v>46314</v>
      </c>
      <c r="B10" s="11" t="s">
        <v>11</v>
      </c>
      <c r="C10" s="11" t="s">
        <v>18</v>
      </c>
      <c r="D10" s="11">
        <v>5</v>
      </c>
      <c r="E10" s="12">
        <v>82000</v>
      </c>
      <c r="F10" s="13">
        <v>410000</v>
      </c>
    </row>
    <row r="11" spans="1:6" x14ac:dyDescent="0.35">
      <c r="A11" s="14" t="s">
        <v>17</v>
      </c>
      <c r="B11" s="15"/>
      <c r="C11" s="15"/>
      <c r="D11" s="15"/>
      <c r="E11" s="15"/>
      <c r="F11" s="16"/>
    </row>
    <row r="12" spans="1:6" x14ac:dyDescent="0.35">
      <c r="A12" s="17" t="s">
        <v>7</v>
      </c>
      <c r="B12" s="18"/>
      <c r="C12" s="18"/>
      <c r="D12" s="18"/>
      <c r="E12" s="18"/>
      <c r="F12" s="19"/>
    </row>
    <row r="13" spans="1:6" x14ac:dyDescent="0.35">
      <c r="A13" s="20">
        <f>SUMIF(C$3:C$10, "Saída", D$3:D$10)</f>
        <v>15</v>
      </c>
      <c r="B13" s="18"/>
      <c r="C13" s="18"/>
      <c r="D13" s="18"/>
      <c r="E13" s="18"/>
      <c r="F13" s="19"/>
    </row>
    <row r="14" spans="1:6" x14ac:dyDescent="0.35">
      <c r="A14" s="21"/>
      <c r="B14" s="18"/>
      <c r="C14" s="18"/>
      <c r="D14" s="18"/>
      <c r="E14" s="18"/>
      <c r="F14" s="19"/>
    </row>
    <row r="15" spans="1:6" x14ac:dyDescent="0.35">
      <c r="A15" s="22" t="s">
        <v>8</v>
      </c>
      <c r="B15" s="23"/>
      <c r="C15" s="23"/>
      <c r="D15" s="23"/>
      <c r="E15" s="23"/>
      <c r="F15" s="24"/>
    </row>
    <row r="16" spans="1:6" x14ac:dyDescent="0.35">
      <c r="A16" s="35">
        <f>SUMIF(C$3:C$10, "Saída", F$3:F$10)</f>
        <v>1452000</v>
      </c>
      <c r="B16" s="18"/>
      <c r="C16" s="18"/>
      <c r="D16" s="18"/>
      <c r="E16" s="18"/>
      <c r="F16" s="19"/>
    </row>
    <row r="17" spans="1:6" x14ac:dyDescent="0.35">
      <c r="A17" s="21"/>
      <c r="B17" s="18"/>
      <c r="C17" s="18"/>
      <c r="D17" s="18"/>
      <c r="E17" s="18"/>
      <c r="F17" s="19"/>
    </row>
    <row r="18" spans="1:6" x14ac:dyDescent="0.35">
      <c r="A18" s="25" t="s">
        <v>20</v>
      </c>
      <c r="B18" s="26"/>
      <c r="C18" s="26"/>
      <c r="D18" s="26"/>
      <c r="E18" s="26"/>
      <c r="F18" s="27"/>
    </row>
    <row r="19" spans="1:6" x14ac:dyDescent="0.35">
      <c r="A19" s="20">
        <f>SUMIF(C$3:C$10, "Entrada", D$3:D$10) - SUMIF(C$3:C$10, "Saída", D$3:D$10)</f>
        <v>23</v>
      </c>
      <c r="B19" s="18"/>
      <c r="C19" s="18"/>
      <c r="D19" s="18"/>
      <c r="E19" s="18"/>
      <c r="F19" s="19"/>
    </row>
    <row r="20" spans="1:6" x14ac:dyDescent="0.35">
      <c r="A20" s="21"/>
      <c r="B20" s="18"/>
      <c r="C20" s="18"/>
      <c r="D20" s="18"/>
      <c r="E20" s="18"/>
      <c r="F20" s="19"/>
    </row>
    <row r="21" spans="1:6" x14ac:dyDescent="0.35">
      <c r="A21" s="22" t="s">
        <v>9</v>
      </c>
      <c r="B21" s="23"/>
      <c r="C21" s="23"/>
      <c r="D21" s="23"/>
      <c r="E21" s="23"/>
      <c r="F21" s="24"/>
    </row>
    <row r="22" spans="1:6" x14ac:dyDescent="0.35">
      <c r="A22" s="28" t="s">
        <v>10</v>
      </c>
      <c r="B22" s="29" t="s">
        <v>11</v>
      </c>
      <c r="C22" s="29" t="s">
        <v>12</v>
      </c>
      <c r="D22" s="30"/>
      <c r="E22" s="30"/>
      <c r="F22" s="31"/>
    </row>
    <row r="23" spans="1:6" x14ac:dyDescent="0.35">
      <c r="A23" s="32"/>
      <c r="B23" s="33"/>
      <c r="C23" s="33"/>
      <c r="D23" s="33"/>
      <c r="E23" s="33"/>
      <c r="F23" s="34"/>
    </row>
    <row r="24" spans="1:6" x14ac:dyDescent="0.35">
      <c r="A24" s="32"/>
      <c r="B24" s="33"/>
      <c r="C24" s="33"/>
      <c r="D24" s="33"/>
      <c r="E24" s="33"/>
      <c r="F24" s="34"/>
    </row>
    <row r="25" spans="1:6" x14ac:dyDescent="0.35">
      <c r="A25" s="22" t="s">
        <v>13</v>
      </c>
      <c r="B25" s="23"/>
      <c r="C25" s="23"/>
      <c r="D25" s="23"/>
      <c r="E25" s="23"/>
      <c r="F25" s="24"/>
    </row>
    <row r="26" spans="1:6" x14ac:dyDescent="0.35">
      <c r="A26" s="41">
        <f>SUMIFS(D$3:D$10, B$3:B$10, A22, C$3:C$10, "Entrada")</f>
        <v>10</v>
      </c>
      <c r="B26" s="40">
        <f>SUMIFS(D$3:D$10, B$3:B$10, B22, C$3:C$10, "Entrada")</f>
        <v>20</v>
      </c>
      <c r="C26" s="40">
        <f>SUMIFS(D$3:D$10, B$3:B$10, C22, C$3:C$10, "Entrada")</f>
        <v>8</v>
      </c>
      <c r="D26" s="38"/>
      <c r="E26" s="38"/>
      <c r="F26" s="39"/>
    </row>
    <row r="27" spans="1:6" x14ac:dyDescent="0.35">
      <c r="A27" s="32"/>
      <c r="B27" s="33"/>
      <c r="C27" s="33"/>
      <c r="D27" s="33"/>
      <c r="E27" s="33"/>
      <c r="F27" s="34"/>
    </row>
    <row r="28" spans="1:6" x14ac:dyDescent="0.35">
      <c r="A28" s="22" t="s">
        <v>14</v>
      </c>
      <c r="B28" s="23"/>
      <c r="C28" s="23"/>
      <c r="D28" s="23"/>
      <c r="E28" s="23"/>
      <c r="F28" s="24"/>
    </row>
    <row r="29" spans="1:6" x14ac:dyDescent="0.35">
      <c r="A29" s="41">
        <f>SUMIFS(D$3:D$10, B$3:B$10, A22, C$3:C$10, "Saída")</f>
        <v>6</v>
      </c>
      <c r="B29" s="40">
        <f>SUMIFS(D$3:D$10, B$3:B$10, B22, C$3:C$10, "Saída")</f>
        <v>6</v>
      </c>
      <c r="C29" s="40">
        <f>SUMIFS(D$3:D$10, B$3:B$10, C22, C$3:C$10, "Saída")</f>
        <v>3</v>
      </c>
      <c r="D29" s="38"/>
      <c r="E29" s="38"/>
      <c r="F29" s="39"/>
    </row>
    <row r="30" spans="1:6" x14ac:dyDescent="0.35">
      <c r="A30" s="32"/>
      <c r="B30" s="33"/>
      <c r="C30" s="33"/>
      <c r="D30" s="33"/>
      <c r="E30" s="33"/>
      <c r="F30" s="34"/>
    </row>
    <row r="31" spans="1:6" x14ac:dyDescent="0.35">
      <c r="A31" s="22" t="s">
        <v>15</v>
      </c>
      <c r="B31" s="23"/>
      <c r="C31" s="23"/>
      <c r="D31" s="23"/>
      <c r="E31" s="23"/>
      <c r="F31" s="24"/>
    </row>
    <row r="32" spans="1:6" x14ac:dyDescent="0.35">
      <c r="A32" s="41">
        <f>A26-A29</f>
        <v>4</v>
      </c>
      <c r="B32" s="40">
        <f>B26-B29</f>
        <v>14</v>
      </c>
      <c r="C32" s="40">
        <f>C26-C29</f>
        <v>5</v>
      </c>
      <c r="D32" s="38"/>
      <c r="E32" s="38"/>
      <c r="F32" s="39"/>
    </row>
    <row r="33" spans="1:6" x14ac:dyDescent="0.35">
      <c r="A33" s="32"/>
      <c r="B33" s="33"/>
      <c r="C33" s="33"/>
      <c r="D33" s="33"/>
      <c r="E33" s="33"/>
      <c r="F33" s="34"/>
    </row>
    <row r="34" spans="1:6" x14ac:dyDescent="0.35">
      <c r="A34" s="22" t="s">
        <v>16</v>
      </c>
      <c r="B34" s="23"/>
      <c r="C34" s="23"/>
      <c r="D34" s="23"/>
      <c r="E34" s="23"/>
      <c r="F34" s="24"/>
    </row>
    <row r="35" spans="1:6" ht="15" thickBot="1" x14ac:dyDescent="0.4">
      <c r="A35" s="42">
        <f>SUMIFS(F$3:F$10, B$3:B$10, A22, C$3:C$10, "Saída")</f>
        <v>570000</v>
      </c>
      <c r="B35" s="43">
        <f>SUMIFS(F$3:F$10, B$3:B$10, B22, C$3:C$10, "Saída")</f>
        <v>492000</v>
      </c>
      <c r="C35" s="43">
        <f>SUMIFS(F$3:F$10, B$3:B$10, C22, C$3:C$10, "Saída")</f>
        <v>390000</v>
      </c>
      <c r="D35" s="36"/>
      <c r="E35" s="36"/>
      <c r="F35" s="37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</sheetData>
  <mergeCells count="9">
    <mergeCell ref="A28:F28"/>
    <mergeCell ref="A31:F31"/>
    <mergeCell ref="A34:F34"/>
    <mergeCell ref="A1:F1"/>
    <mergeCell ref="A11:F11"/>
    <mergeCell ref="A15:F15"/>
    <mergeCell ref="A18:F18"/>
    <mergeCell ref="A21:F21"/>
    <mergeCell ref="A25:F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RIBEIRO</dc:creator>
  <cp:lastModifiedBy>LESTER RIBEIRO</cp:lastModifiedBy>
  <dcterms:created xsi:type="dcterms:W3CDTF">2026-10-20T01:25:57Z</dcterms:created>
  <dcterms:modified xsi:type="dcterms:W3CDTF">2026-10-20T02:46:46Z</dcterms:modified>
</cp:coreProperties>
</file>